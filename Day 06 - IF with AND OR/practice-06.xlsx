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learning\"/>
    </mc:Choice>
  </mc:AlternateContent>
  <xr:revisionPtr revIDLastSave="0" documentId="13_ncr:1_{AFDD8423-DEFA-4CBE-AA95-D5AE4DE86359}" xr6:coauthVersionLast="47" xr6:coauthVersionMax="47" xr10:uidLastSave="{00000000-0000-0000-0000-000000000000}"/>
  <bookViews>
    <workbookView xWindow="-108" yWindow="-108" windowWidth="23256" windowHeight="14616" xr2:uid="{E8372A5D-2A2A-48CE-800C-A9A040DAFAB5}"/>
  </bookViews>
  <sheets>
    <sheet name="IF Bertingkat" sheetId="1" r:id="rId1"/>
    <sheet name="IF dengan LEFT MID RIGHT" sheetId="4" r:id="rId2"/>
    <sheet name="IF dengan AND dan 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3" i="3"/>
  <c r="G4" i="3"/>
  <c r="G5" i="3"/>
  <c r="G6" i="3"/>
  <c r="G7" i="3"/>
  <c r="G8" i="3"/>
  <c r="G9" i="3"/>
  <c r="G10" i="3"/>
  <c r="G11" i="3"/>
  <c r="G12" i="3"/>
  <c r="G3" i="3"/>
  <c r="F4" i="3"/>
  <c r="F5" i="3"/>
  <c r="F6" i="3"/>
  <c r="F7" i="3"/>
  <c r="F8" i="3"/>
  <c r="F9" i="3"/>
  <c r="F10" i="3"/>
  <c r="F11" i="3"/>
  <c r="F12" i="3"/>
  <c r="F3" i="3"/>
  <c r="E4" i="4"/>
  <c r="E5" i="4"/>
  <c r="E6" i="4"/>
  <c r="E7" i="4"/>
  <c r="E8" i="4"/>
  <c r="E9" i="4"/>
  <c r="E10" i="4"/>
  <c r="E11" i="4"/>
  <c r="E12" i="4"/>
  <c r="E3" i="4"/>
  <c r="F4" i="4"/>
  <c r="F5" i="4"/>
  <c r="F6" i="4"/>
  <c r="F7" i="4"/>
  <c r="F8" i="4"/>
  <c r="F9" i="4"/>
  <c r="F10" i="4"/>
  <c r="F11" i="4"/>
  <c r="F12" i="4"/>
  <c r="F3" i="4"/>
  <c r="D4" i="4"/>
  <c r="D5" i="4"/>
  <c r="D6" i="4"/>
  <c r="D7" i="4"/>
  <c r="D8" i="4"/>
  <c r="D9" i="4"/>
  <c r="D10" i="4"/>
  <c r="D11" i="4"/>
  <c r="D12" i="4"/>
  <c r="D3" i="4"/>
  <c r="F4" i="1"/>
  <c r="F5" i="1"/>
  <c r="F6" i="1"/>
  <c r="F7" i="1"/>
  <c r="F8" i="1"/>
  <c r="F9" i="1"/>
  <c r="F10" i="1"/>
  <c r="F11" i="1"/>
  <c r="F12" i="1"/>
  <c r="F3" i="1"/>
  <c r="E4" i="1" l="1" a="1"/>
  <c r="E4" i="1"/>
  <c r="E5" i="1" a="1"/>
  <c r="E5" i="1" s="1"/>
  <c r="E6" i="1" a="1"/>
  <c r="E6" i="1" s="1"/>
  <c r="E7" i="1" a="1"/>
  <c r="E7" i="1"/>
  <c r="E8" i="1" a="1"/>
  <c r="E8" i="1" s="1"/>
  <c r="E9" i="1" a="1"/>
  <c r="E9" i="1" s="1"/>
  <c r="E10" i="1" a="1"/>
  <c r="E10" i="1" s="1"/>
  <c r="E11" i="1" a="1"/>
  <c r="E11" i="1" s="1"/>
  <c r="E12" i="1" a="1"/>
  <c r="E12" i="1"/>
  <c r="E3" i="1" a="1"/>
  <c r="E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<sst xmlns="http://schemas.openxmlformats.org/spreadsheetml/2006/main" count="110" uniqueCount="72">
  <si>
    <t>Nama Customer</t>
  </si>
  <si>
    <t xml:space="preserve">Total Spending </t>
  </si>
  <si>
    <t>Ongki Natalia</t>
  </si>
  <si>
    <t>Dwi Monika</t>
  </si>
  <si>
    <t>Didik Setiaji</t>
  </si>
  <si>
    <t>Reni Anggriawan</t>
  </si>
  <si>
    <t>Dina Wiayu</t>
  </si>
  <si>
    <t>Indah Novia</t>
  </si>
  <si>
    <t>Aisya Shaliha</t>
  </si>
  <si>
    <t>Desi Novitasari</t>
  </si>
  <si>
    <t>Tri Wulandari</t>
  </si>
  <si>
    <t>Ayu Sari</t>
  </si>
  <si>
    <t>Status Customer</t>
  </si>
  <si>
    <t>Informasi:</t>
  </si>
  <si>
    <t>Jika spending di bawah 2 juta, maka status customer adalah Silver</t>
  </si>
  <si>
    <t>Jika spending antara 2-5 juta, maka status customer adalah Gold</t>
  </si>
  <si>
    <t>Jika spending di atas 5 juta, maka status customer adalah Platinum</t>
  </si>
  <si>
    <t>Domisili</t>
  </si>
  <si>
    <t>BDG</t>
  </si>
  <si>
    <t>JKT</t>
  </si>
  <si>
    <t>SBY</t>
  </si>
  <si>
    <t>Lama Kirim</t>
  </si>
  <si>
    <t>Lama Pengiriman</t>
  </si>
  <si>
    <t>1 hari</t>
  </si>
  <si>
    <t>2 hari</t>
  </si>
  <si>
    <t>3 hari</t>
  </si>
  <si>
    <t>Endah Purwanti</t>
  </si>
  <si>
    <t>Andriono Indra</t>
  </si>
  <si>
    <t>Winda Gayatri</t>
  </si>
  <si>
    <t>Septarina Putri</t>
  </si>
  <si>
    <t>Yesi Novita</t>
  </si>
  <si>
    <t>Yusi Intan</t>
  </si>
  <si>
    <t>Nentin Anggraeni</t>
  </si>
  <si>
    <t>Yumerty Nokas</t>
  </si>
  <si>
    <t>Satriya Handi</t>
  </si>
  <si>
    <t>Nama Karyawan</t>
  </si>
  <si>
    <t>ID Karyawan</t>
  </si>
  <si>
    <t>Divisi</t>
  </si>
  <si>
    <t>SA</t>
  </si>
  <si>
    <t>MK</t>
  </si>
  <si>
    <t>Desy Ratnasari</t>
  </si>
  <si>
    <t>P</t>
  </si>
  <si>
    <t>L</t>
  </si>
  <si>
    <t>Divisi mengacu pada 2 huruf pertama di ID Karyawan</t>
  </si>
  <si>
    <t>Tahun masuk mengacu pada 4 karakter di tengah, dimulai dari karakter ketiga.</t>
  </si>
  <si>
    <t>Jenis kelamin mengacu pada karakter terakhir di ID Karyawan.</t>
  </si>
  <si>
    <t>Kode Divisi</t>
  </si>
  <si>
    <t>Sales</t>
  </si>
  <si>
    <t>Marketing</t>
  </si>
  <si>
    <t>Gender</t>
  </si>
  <si>
    <t>Kode Gender</t>
  </si>
  <si>
    <t>Laki-laki</t>
  </si>
  <si>
    <t>Perempuan</t>
  </si>
  <si>
    <t>SA2019P</t>
  </si>
  <si>
    <t>MK2020L</t>
  </si>
  <si>
    <t>MK2019P</t>
  </si>
  <si>
    <t>MK2020P</t>
  </si>
  <si>
    <t>SA2020P</t>
  </si>
  <si>
    <t>SA2019L</t>
  </si>
  <si>
    <t>Jika masuk di tahun 2019, maka benefit Lengkap. Jika tidak, Tidak Lengkap.</t>
  </si>
  <si>
    <t>Benefit</t>
  </si>
  <si>
    <t>Bulan 1</t>
  </si>
  <si>
    <t>Bulan 2</t>
  </si>
  <si>
    <t>Bandung</t>
  </si>
  <si>
    <t>Jakarta</t>
  </si>
  <si>
    <t>Surabaya</t>
  </si>
  <si>
    <t>Gaji 4 juta jika domisili di Bandung atau Surabaya, sedangkan 5 juta jika di Jakarta.</t>
  </si>
  <si>
    <t>Performa</t>
  </si>
  <si>
    <t>Gaji</t>
  </si>
  <si>
    <t>Komisi sebesar 15% jika total penjualan di atas Rp. 40 juta, jika tidak maka 10%.</t>
  </si>
  <si>
    <t>Performa "Baik" jika penjualan di 2 bulan selalu di atas Rp. 20 juta, jika tidak maka performa "Buruk".</t>
  </si>
  <si>
    <t>Komisi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</si>
</sst>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4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9EDA-06E3-4C5B-9BE5-3BEABDB0957C}">
  <dimension ref="B2:I17"/>
  <sheetViews>
    <sheetView showGridLines="0" tabSelected="1" zoomScale="93" zoomScaleNormal="180" workbookViewId="0">
      <selection activeCell="F25" sqref="F25"/>
    </sheetView>
  </sheetViews>
  <sheetFormatPr defaultRowHeight="14.4" x14ac:dyDescent="0.3"/>
  <cols>
    <col min="1" max="1" width="3.5546875" customWidth="1"/>
    <col min="2" max="2" width="20.6640625" customWidth="1"/>
    <col min="3" max="3" width="14.44140625" customWidth="1"/>
    <col min="4" max="4" width="11" customWidth="1"/>
    <col min="5" max="5" width="16.44140625" customWidth="1"/>
    <col min="6" max="6" width="11.88671875" customWidth="1"/>
    <col min="7" max="7" width="5.109375" customWidth="1"/>
    <col min="8" max="8" width="12.5546875" customWidth="1"/>
    <col min="9" max="9" width="14.6640625" customWidth="1"/>
  </cols>
  <sheetData>
    <row r="2" spans="2:9" s="4" customFormat="1" ht="28.8" x14ac:dyDescent="0.3">
      <c r="B2" s="3" t="s">
        <v>0</v>
      </c>
      <c r="C2" s="3" t="s">
        <v>1</v>
      </c>
      <c r="D2" s="3" t="s">
        <v>17</v>
      </c>
      <c r="E2" s="3" t="s">
        <v>12</v>
      </c>
      <c r="F2" s="3" t="s">
        <v>21</v>
      </c>
      <c r="G2"/>
      <c r="H2" s="3" t="s">
        <v>17</v>
      </c>
      <c r="I2" s="3" t="s">
        <v>22</v>
      </c>
    </row>
    <row r="3" spans="2:9" x14ac:dyDescent="0.3">
      <c r="B3" s="1" t="s">
        <v>2</v>
      </c>
      <c r="C3" s="2">
        <v>3610155</v>
      </c>
      <c r="D3" s="2" t="s">
        <v>18</v>
      </c>
      <c r="E3" s="1" t="str" cm="1">
        <f t="array" ref="E3">_xlfn.IFS(C3&lt;2000000,"Silver",C3&lt;=5000000,"Gold",C3&gt;5000000,"Platinum")</f>
        <v>Gold</v>
      </c>
      <c r="F3" s="1" t="str">
        <f>IF(D3=$H$4,$I$4,IF(D3=$H$5,$I$5,$I$3))</f>
        <v>2 hari</v>
      </c>
      <c r="H3" s="1" t="s">
        <v>19</v>
      </c>
      <c r="I3" s="1" t="s">
        <v>23</v>
      </c>
    </row>
    <row r="4" spans="2:9" x14ac:dyDescent="0.3">
      <c r="B4" s="1" t="s">
        <v>3</v>
      </c>
      <c r="C4" s="2">
        <v>6017983</v>
      </c>
      <c r="D4" s="2" t="s">
        <v>19</v>
      </c>
      <c r="E4" s="1" t="str" cm="1">
        <f t="array" ref="E4">_xlfn.IFS(C4&lt;2000000,"Silver",C4&lt;=5000000,"Gold",C4&gt;5000000,"Platinum")</f>
        <v>Platinum</v>
      </c>
      <c r="F4" s="1" t="str">
        <f t="shared" ref="F4:F12" si="0">IF(D4=$H$4,$I$4,IF(D4=$H$5,$I$5,$I$3))</f>
        <v>1 hari</v>
      </c>
      <c r="H4" s="1" t="s">
        <v>18</v>
      </c>
      <c r="I4" s="1" t="s">
        <v>24</v>
      </c>
    </row>
    <row r="5" spans="2:9" x14ac:dyDescent="0.3">
      <c r="B5" s="1" t="s">
        <v>4</v>
      </c>
      <c r="C5" s="2">
        <v>1393027</v>
      </c>
      <c r="D5" s="2" t="s">
        <v>20</v>
      </c>
      <c r="E5" s="1" t="str" cm="1">
        <f t="array" ref="E5">_xlfn.IFS(C5&lt;2000000,"Silver",C5&lt;=5000000,"Gold",C5&gt;5000000,"Platinum")</f>
        <v>Silver</v>
      </c>
      <c r="F5" s="1" t="str">
        <f t="shared" si="0"/>
        <v>3 hari</v>
      </c>
      <c r="H5" s="1" t="s">
        <v>20</v>
      </c>
      <c r="I5" s="1" t="s">
        <v>25</v>
      </c>
    </row>
    <row r="6" spans="2:9" x14ac:dyDescent="0.3">
      <c r="B6" s="1" t="s">
        <v>5</v>
      </c>
      <c r="C6" s="2">
        <v>2996053</v>
      </c>
      <c r="D6" s="2" t="s">
        <v>19</v>
      </c>
      <c r="E6" s="1" t="str" cm="1">
        <f t="array" ref="E6">_xlfn.IFS(C6&lt;2000000,"Silver",C6&lt;=5000000,"Gold",C6&gt;5000000,"Platinum")</f>
        <v>Gold</v>
      </c>
      <c r="F6" s="1" t="str">
        <f t="shared" si="0"/>
        <v>1 hari</v>
      </c>
    </row>
    <row r="7" spans="2:9" x14ac:dyDescent="0.3">
      <c r="B7" s="1" t="s">
        <v>6</v>
      </c>
      <c r="C7" s="2">
        <v>2036929.0000000002</v>
      </c>
      <c r="D7" s="2" t="s">
        <v>18</v>
      </c>
      <c r="E7" s="1" t="str" cm="1">
        <f t="array" ref="E7">_xlfn.IFS(C7&lt;2000000,"Silver",C7&lt;=5000000,"Gold",C7&gt;5000000,"Platinum")</f>
        <v>Gold</v>
      </c>
      <c r="F7" s="1" t="str">
        <f t="shared" si="0"/>
        <v>2 hari</v>
      </c>
    </row>
    <row r="8" spans="2:9" x14ac:dyDescent="0.3">
      <c r="B8" s="1" t="s">
        <v>7</v>
      </c>
      <c r="C8" s="2">
        <v>6317758</v>
      </c>
      <c r="D8" s="2" t="s">
        <v>20</v>
      </c>
      <c r="E8" s="1" t="str" cm="1">
        <f t="array" ref="E8">_xlfn.IFS(C8&lt;2000000,"Silver",C8&lt;=5000000,"Gold",C8&gt;5000000,"Platinum")</f>
        <v>Platinum</v>
      </c>
      <c r="F8" s="1" t="str">
        <f t="shared" si="0"/>
        <v>3 hari</v>
      </c>
    </row>
    <row r="9" spans="2:9" x14ac:dyDescent="0.3">
      <c r="B9" s="1" t="s">
        <v>8</v>
      </c>
      <c r="C9" s="2">
        <v>4796498</v>
      </c>
      <c r="D9" s="2" t="s">
        <v>19</v>
      </c>
      <c r="E9" s="1" t="str" cm="1">
        <f t="array" ref="E9">_xlfn.IFS(C9&lt;2000000,"Silver",C9&lt;=5000000,"Gold",C9&gt;5000000,"Platinum")</f>
        <v>Gold</v>
      </c>
      <c r="F9" s="1" t="str">
        <f t="shared" si="0"/>
        <v>1 hari</v>
      </c>
    </row>
    <row r="10" spans="2:9" x14ac:dyDescent="0.3">
      <c r="B10" s="1" t="s">
        <v>9</v>
      </c>
      <c r="C10" s="2">
        <v>3426814</v>
      </c>
      <c r="D10" s="2" t="s">
        <v>20</v>
      </c>
      <c r="E10" s="1" t="str" cm="1">
        <f t="array" ref="E10">_xlfn.IFS(C10&lt;2000000,"Silver",C10&lt;=5000000,"Gold",C10&gt;5000000,"Platinum")</f>
        <v>Gold</v>
      </c>
      <c r="F10" s="1" t="str">
        <f t="shared" si="0"/>
        <v>3 hari</v>
      </c>
    </row>
    <row r="11" spans="2:9" x14ac:dyDescent="0.3">
      <c r="B11" s="1" t="s">
        <v>10</v>
      </c>
      <c r="C11" s="2">
        <v>5731873</v>
      </c>
      <c r="D11" s="2" t="s">
        <v>19</v>
      </c>
      <c r="E11" s="1" t="str" cm="1">
        <f t="array" ref="E11">_xlfn.IFS(C11&lt;2000000,"Silver",C11&lt;=5000000,"Gold",C11&gt;5000000,"Platinum")</f>
        <v>Platinum</v>
      </c>
      <c r="F11" s="1" t="str">
        <f t="shared" si="0"/>
        <v>1 hari</v>
      </c>
    </row>
    <row r="12" spans="2:9" x14ac:dyDescent="0.3">
      <c r="B12" s="1" t="s">
        <v>11</v>
      </c>
      <c r="C12" s="2">
        <v>1760000</v>
      </c>
      <c r="D12" s="2" t="s">
        <v>19</v>
      </c>
      <c r="E12" s="1" t="str" cm="1">
        <f t="array" ref="E12">_xlfn.IFS(C12&lt;2000000,"Silver",C12&lt;=5000000,"Gold",C12&gt;5000000,"Platinum")</f>
        <v>Silver</v>
      </c>
      <c r="F12" s="1" t="str">
        <f t="shared" si="0"/>
        <v>1 hari</v>
      </c>
    </row>
    <row r="14" spans="2:9" x14ac:dyDescent="0.3">
      <c r="B14" s="6" t="s">
        <v>13</v>
      </c>
    </row>
    <row r="15" spans="2:9" x14ac:dyDescent="0.3">
      <c r="B15" s="5" t="s">
        <v>14</v>
      </c>
    </row>
    <row r="16" spans="2:9" x14ac:dyDescent="0.3">
      <c r="B16" s="5" t="s">
        <v>15</v>
      </c>
    </row>
    <row r="17" spans="2:2" x14ac:dyDescent="0.3">
      <c r="B17" s="5" t="s">
        <v>16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34E5-D7E4-446E-8A8A-99052A4876E4}">
  <dimension ref="B2:I18"/>
  <sheetViews>
    <sheetView showGridLines="0" zoomScale="127" zoomScaleNormal="180" workbookViewId="0">
      <selection activeCell="E3" sqref="E3:E12"/>
    </sheetView>
  </sheetViews>
  <sheetFormatPr defaultRowHeight="14.4" x14ac:dyDescent="0.3"/>
  <cols>
    <col min="1" max="1" width="3.5546875" customWidth="1"/>
    <col min="2" max="2" width="18.88671875" customWidth="1"/>
    <col min="3" max="3" width="14.44140625" customWidth="1"/>
    <col min="4" max="4" width="11" customWidth="1"/>
    <col min="5" max="5" width="13.5546875" customWidth="1"/>
    <col min="6" max="6" width="11.88671875" customWidth="1"/>
    <col min="7" max="7" width="19.5546875" customWidth="1"/>
    <col min="8" max="8" width="13.5546875" customWidth="1"/>
    <col min="9" max="9" width="14.6640625" customWidth="1"/>
  </cols>
  <sheetData>
    <row r="2" spans="2:9" s="4" customFormat="1" x14ac:dyDescent="0.3">
      <c r="B2" s="3" t="s">
        <v>35</v>
      </c>
      <c r="C2" s="3" t="s">
        <v>36</v>
      </c>
      <c r="D2" s="3" t="s">
        <v>37</v>
      </c>
      <c r="E2" s="3" t="s">
        <v>60</v>
      </c>
      <c r="F2" s="3" t="s">
        <v>49</v>
      </c>
      <c r="G2"/>
      <c r="H2" s="3" t="s">
        <v>46</v>
      </c>
      <c r="I2" s="3" t="s">
        <v>37</v>
      </c>
    </row>
    <row r="3" spans="2:9" x14ac:dyDescent="0.3">
      <c r="B3" s="1" t="s">
        <v>40</v>
      </c>
      <c r="C3" s="2" t="s">
        <v>53</v>
      </c>
      <c r="D3" s="2" t="str">
        <f>IF(LEFT(C3,2)=$H$3,$I$3,$I$4)</f>
        <v>Sales</v>
      </c>
      <c r="E3" s="1" t="str">
        <f>IF(MID(C3,3,4)="2019","Lengkap","Tidak Lengkap")</f>
        <v>Lengkap</v>
      </c>
      <c r="F3" s="1" t="str">
        <f>IF(RIGHT(C3,1)=$H$9,$I$9,$I$8)</f>
        <v>Perempuan</v>
      </c>
      <c r="H3" s="1" t="s">
        <v>38</v>
      </c>
      <c r="I3" s="1" t="s">
        <v>47</v>
      </c>
    </row>
    <row r="4" spans="2:9" x14ac:dyDescent="0.3">
      <c r="B4" s="1" t="s">
        <v>26</v>
      </c>
      <c r="C4" s="2" t="s">
        <v>53</v>
      </c>
      <c r="D4" s="2" t="str">
        <f t="shared" ref="D4:D12" si="0">IF(LEFT(C4,2)=$H$3,$I$3,$I$4)</f>
        <v>Sales</v>
      </c>
      <c r="E4" s="1" t="str">
        <f t="shared" ref="E4:E12" si="1">IF(MID(C4,3,4)="2019","Lengkap","Tidak Lengkap")</f>
        <v>Lengkap</v>
      </c>
      <c r="F4" s="1" t="str">
        <f t="shared" ref="F4:F12" si="2">IF(RIGHT(C4,1)=$H$9,$I$9,$I$8)</f>
        <v>Perempuan</v>
      </c>
      <c r="H4" s="1" t="s">
        <v>39</v>
      </c>
      <c r="I4" s="1" t="s">
        <v>48</v>
      </c>
    </row>
    <row r="5" spans="2:9" x14ac:dyDescent="0.3">
      <c r="B5" s="1" t="s">
        <v>27</v>
      </c>
      <c r="C5" s="2" t="s">
        <v>54</v>
      </c>
      <c r="D5" s="2" t="str">
        <f t="shared" si="0"/>
        <v>Marketing</v>
      </c>
      <c r="E5" s="1" t="str">
        <f t="shared" si="1"/>
        <v>Tidak Lengkap</v>
      </c>
      <c r="F5" s="1" t="str">
        <f t="shared" si="2"/>
        <v>Laki-laki</v>
      </c>
    </row>
    <row r="6" spans="2:9" x14ac:dyDescent="0.3">
      <c r="B6" s="1" t="s">
        <v>28</v>
      </c>
      <c r="C6" s="2" t="s">
        <v>53</v>
      </c>
      <c r="D6" s="2" t="str">
        <f t="shared" si="0"/>
        <v>Sales</v>
      </c>
      <c r="E6" s="1" t="str">
        <f t="shared" si="1"/>
        <v>Lengkap</v>
      </c>
      <c r="F6" s="1" t="str">
        <f t="shared" si="2"/>
        <v>Perempuan</v>
      </c>
    </row>
    <row r="7" spans="2:9" x14ac:dyDescent="0.3">
      <c r="B7" s="1" t="s">
        <v>29</v>
      </c>
      <c r="C7" s="2" t="s">
        <v>55</v>
      </c>
      <c r="D7" s="2" t="str">
        <f t="shared" si="0"/>
        <v>Marketing</v>
      </c>
      <c r="E7" s="1" t="str">
        <f t="shared" si="1"/>
        <v>Lengkap</v>
      </c>
      <c r="F7" s="1" t="str">
        <f t="shared" si="2"/>
        <v>Perempuan</v>
      </c>
      <c r="H7" s="3" t="s">
        <v>50</v>
      </c>
      <c r="I7" s="3" t="s">
        <v>49</v>
      </c>
    </row>
    <row r="8" spans="2:9" x14ac:dyDescent="0.3">
      <c r="B8" s="1" t="s">
        <v>30</v>
      </c>
      <c r="C8" s="2" t="s">
        <v>56</v>
      </c>
      <c r="D8" s="2" t="str">
        <f t="shared" si="0"/>
        <v>Marketing</v>
      </c>
      <c r="E8" s="1" t="str">
        <f t="shared" si="1"/>
        <v>Tidak Lengkap</v>
      </c>
      <c r="F8" s="1" t="str">
        <f t="shared" si="2"/>
        <v>Perempuan</v>
      </c>
      <c r="H8" s="1" t="s">
        <v>42</v>
      </c>
      <c r="I8" s="1" t="s">
        <v>51</v>
      </c>
    </row>
    <row r="9" spans="2:9" x14ac:dyDescent="0.3">
      <c r="B9" s="1" t="s">
        <v>31</v>
      </c>
      <c r="C9" s="2" t="s">
        <v>57</v>
      </c>
      <c r="D9" s="2" t="str">
        <f t="shared" si="0"/>
        <v>Sales</v>
      </c>
      <c r="E9" s="1" t="str">
        <f t="shared" si="1"/>
        <v>Tidak Lengkap</v>
      </c>
      <c r="F9" s="1" t="str">
        <f t="shared" si="2"/>
        <v>Perempuan</v>
      </c>
      <c r="H9" s="1" t="s">
        <v>41</v>
      </c>
      <c r="I9" s="1" t="s">
        <v>52</v>
      </c>
    </row>
    <row r="10" spans="2:9" x14ac:dyDescent="0.3">
      <c r="B10" s="1" t="s">
        <v>32</v>
      </c>
      <c r="C10" s="2" t="s">
        <v>55</v>
      </c>
      <c r="D10" s="2" t="str">
        <f t="shared" si="0"/>
        <v>Marketing</v>
      </c>
      <c r="E10" s="1" t="str">
        <f t="shared" si="1"/>
        <v>Lengkap</v>
      </c>
      <c r="F10" s="1" t="str">
        <f t="shared" si="2"/>
        <v>Perempuan</v>
      </c>
    </row>
    <row r="11" spans="2:9" x14ac:dyDescent="0.3">
      <c r="B11" s="1" t="s">
        <v>33</v>
      </c>
      <c r="C11" s="2" t="s">
        <v>54</v>
      </c>
      <c r="D11" s="2" t="str">
        <f t="shared" si="0"/>
        <v>Marketing</v>
      </c>
      <c r="E11" s="1" t="str">
        <f t="shared" si="1"/>
        <v>Tidak Lengkap</v>
      </c>
      <c r="F11" s="1" t="str">
        <f t="shared" si="2"/>
        <v>Laki-laki</v>
      </c>
    </row>
    <row r="12" spans="2:9" x14ac:dyDescent="0.3">
      <c r="B12" s="1" t="s">
        <v>34</v>
      </c>
      <c r="C12" s="2" t="s">
        <v>58</v>
      </c>
      <c r="D12" s="2" t="str">
        <f t="shared" si="0"/>
        <v>Sales</v>
      </c>
      <c r="E12" s="1" t="str">
        <f t="shared" si="1"/>
        <v>Lengkap</v>
      </c>
      <c r="F12" s="1" t="str">
        <f t="shared" si="2"/>
        <v>Laki-laki</v>
      </c>
    </row>
    <row r="14" spans="2:9" x14ac:dyDescent="0.3">
      <c r="B14" s="6" t="s">
        <v>13</v>
      </c>
    </row>
    <row r="15" spans="2:9" x14ac:dyDescent="0.3">
      <c r="B15" s="5" t="s">
        <v>43</v>
      </c>
    </row>
    <row r="16" spans="2:9" x14ac:dyDescent="0.3">
      <c r="B16" s="5" t="s">
        <v>44</v>
      </c>
    </row>
    <row r="17" spans="2:2" x14ac:dyDescent="0.3">
      <c r="B17" s="5" t="s">
        <v>59</v>
      </c>
    </row>
    <row r="18" spans="2:2" x14ac:dyDescent="0.3">
      <c r="B18" s="5" t="s">
        <v>45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32A7-003C-46E1-BDC9-25A940F9B47F}">
  <dimension ref="B2:H17"/>
  <sheetViews>
    <sheetView showGridLines="0" zoomScale="94" zoomScaleNormal="160" workbookViewId="0">
      <selection activeCell="K10" sqref="K10"/>
    </sheetView>
  </sheetViews>
  <sheetFormatPr defaultRowHeight="14.4" x14ac:dyDescent="0.3"/>
  <cols>
    <col min="1" max="1" width="4.33203125" customWidth="1"/>
    <col min="2" max="2" width="16.6640625" bestFit="1" customWidth="1"/>
    <col min="3" max="3" width="13.109375" customWidth="1"/>
    <col min="4" max="5" width="18" customWidth="1"/>
    <col min="6" max="6" width="14.109375" customWidth="1"/>
    <col min="7" max="7" width="17" customWidth="1"/>
    <col min="8" max="8" width="16.109375" customWidth="1"/>
  </cols>
  <sheetData>
    <row r="2" spans="2:8" x14ac:dyDescent="0.3">
      <c r="B2" s="3" t="s">
        <v>35</v>
      </c>
      <c r="C2" s="3" t="s">
        <v>17</v>
      </c>
      <c r="D2" s="3" t="s">
        <v>61</v>
      </c>
      <c r="E2" s="3" t="s">
        <v>62</v>
      </c>
      <c r="F2" s="3" t="s">
        <v>67</v>
      </c>
      <c r="G2" s="3" t="s">
        <v>68</v>
      </c>
      <c r="H2" s="3" t="s">
        <v>71</v>
      </c>
    </row>
    <row r="3" spans="2:8" x14ac:dyDescent="0.3">
      <c r="B3" s="1" t="s">
        <v>40</v>
      </c>
      <c r="C3" s="1" t="s">
        <v>63</v>
      </c>
      <c r="D3" s="2">
        <v>13000000</v>
      </c>
      <c r="E3" s="2">
        <v>28000000</v>
      </c>
      <c r="F3" s="1" t="str">
        <f>IF(AND(D3&gt;=20000000,E3&gt;=20000000),"Baik","Buruk")</f>
        <v>Buruk</v>
      </c>
      <c r="G3" s="2">
        <f>IF(OR(C3="Bandung",C3="Surabaya"),4000000,5000000)</f>
        <v>4000000</v>
      </c>
      <c r="H3" s="2">
        <f>IF(SUM(D3:E3) &gt;40000000,15%*SUM(D3:E3),10%*SUM(D3:E3))</f>
        <v>6150000</v>
      </c>
    </row>
    <row r="4" spans="2:8" x14ac:dyDescent="0.3">
      <c r="B4" s="1" t="s">
        <v>26</v>
      </c>
      <c r="C4" s="1" t="s">
        <v>64</v>
      </c>
      <c r="D4" s="2">
        <v>21000000</v>
      </c>
      <c r="E4" s="2">
        <v>23000000</v>
      </c>
      <c r="F4" s="1" t="str">
        <f t="shared" ref="F4:F12" si="0">IF(AND(D4&gt;=20000000,E4&gt;=20000000),"Baik","Buruk")</f>
        <v>Baik</v>
      </c>
      <c r="G4" s="2">
        <f t="shared" ref="G4:G12" si="1">IF(OR(C4="Bandung",C4="Surabaya"),4000000,5000000)</f>
        <v>5000000</v>
      </c>
      <c r="H4" s="2">
        <f t="shared" ref="H4:H12" si="2">IF(SUM(D4:E4) &gt;40000000,15%*SUM(D4:E4),10%*SUM(D4:E4))</f>
        <v>6600000</v>
      </c>
    </row>
    <row r="5" spans="2:8" x14ac:dyDescent="0.3">
      <c r="B5" s="1" t="s">
        <v>27</v>
      </c>
      <c r="C5" s="1" t="s">
        <v>63</v>
      </c>
      <c r="D5" s="2">
        <v>11000000</v>
      </c>
      <c r="E5" s="2">
        <v>44000000</v>
      </c>
      <c r="F5" s="1" t="str">
        <f t="shared" si="0"/>
        <v>Buruk</v>
      </c>
      <c r="G5" s="2">
        <f t="shared" si="1"/>
        <v>4000000</v>
      </c>
      <c r="H5" s="2">
        <f t="shared" si="2"/>
        <v>8250000</v>
      </c>
    </row>
    <row r="6" spans="2:8" x14ac:dyDescent="0.3">
      <c r="B6" s="1" t="s">
        <v>28</v>
      </c>
      <c r="C6" s="1" t="s">
        <v>65</v>
      </c>
      <c r="D6" s="2">
        <v>12000000</v>
      </c>
      <c r="E6" s="2">
        <v>37000000</v>
      </c>
      <c r="F6" s="1" t="str">
        <f t="shared" si="0"/>
        <v>Buruk</v>
      </c>
      <c r="G6" s="2">
        <f t="shared" si="1"/>
        <v>4000000</v>
      </c>
      <c r="H6" s="2">
        <f t="shared" si="2"/>
        <v>7350000</v>
      </c>
    </row>
    <row r="7" spans="2:8" x14ac:dyDescent="0.3">
      <c r="B7" s="1" t="s">
        <v>29</v>
      </c>
      <c r="C7" s="1" t="s">
        <v>64</v>
      </c>
      <c r="D7" s="2">
        <v>21000000</v>
      </c>
      <c r="E7" s="2">
        <v>36000000</v>
      </c>
      <c r="F7" s="1" t="str">
        <f t="shared" si="0"/>
        <v>Baik</v>
      </c>
      <c r="G7" s="2">
        <f t="shared" si="1"/>
        <v>5000000</v>
      </c>
      <c r="H7" s="2">
        <f t="shared" si="2"/>
        <v>8550000</v>
      </c>
    </row>
    <row r="8" spans="2:8" x14ac:dyDescent="0.3">
      <c r="B8" s="1" t="s">
        <v>30</v>
      </c>
      <c r="C8" s="1" t="s">
        <v>64</v>
      </c>
      <c r="D8" s="2">
        <v>21000000</v>
      </c>
      <c r="E8" s="2">
        <v>16000000</v>
      </c>
      <c r="F8" s="1" t="str">
        <f t="shared" si="0"/>
        <v>Buruk</v>
      </c>
      <c r="G8" s="2">
        <f t="shared" si="1"/>
        <v>5000000</v>
      </c>
      <c r="H8" s="2">
        <f t="shared" si="2"/>
        <v>3700000</v>
      </c>
    </row>
    <row r="9" spans="2:8" x14ac:dyDescent="0.3">
      <c r="B9" s="1" t="s">
        <v>31</v>
      </c>
      <c r="C9" s="1" t="s">
        <v>65</v>
      </c>
      <c r="D9" s="2">
        <v>25000000</v>
      </c>
      <c r="E9" s="2">
        <v>36000000</v>
      </c>
      <c r="F9" s="1" t="str">
        <f t="shared" si="0"/>
        <v>Baik</v>
      </c>
      <c r="G9" s="2">
        <f t="shared" si="1"/>
        <v>4000000</v>
      </c>
      <c r="H9" s="2">
        <f t="shared" si="2"/>
        <v>9150000</v>
      </c>
    </row>
    <row r="10" spans="2:8" x14ac:dyDescent="0.3">
      <c r="B10" s="1" t="s">
        <v>32</v>
      </c>
      <c r="C10" s="1" t="s">
        <v>63</v>
      </c>
      <c r="D10" s="2">
        <v>13000000</v>
      </c>
      <c r="E10" s="2">
        <v>45000000</v>
      </c>
      <c r="F10" s="1" t="str">
        <f t="shared" si="0"/>
        <v>Buruk</v>
      </c>
      <c r="G10" s="2">
        <f t="shared" si="1"/>
        <v>4000000</v>
      </c>
      <c r="H10" s="2">
        <f t="shared" si="2"/>
        <v>8700000</v>
      </c>
    </row>
    <row r="11" spans="2:8" x14ac:dyDescent="0.3">
      <c r="B11" s="1" t="s">
        <v>33</v>
      </c>
      <c r="C11" s="1" t="s">
        <v>64</v>
      </c>
      <c r="D11" s="2">
        <v>24000000</v>
      </c>
      <c r="E11" s="2">
        <v>21000000</v>
      </c>
      <c r="F11" s="1" t="str">
        <f t="shared" si="0"/>
        <v>Baik</v>
      </c>
      <c r="G11" s="2">
        <f t="shared" si="1"/>
        <v>5000000</v>
      </c>
      <c r="H11" s="2">
        <f t="shared" si="2"/>
        <v>6750000</v>
      </c>
    </row>
    <row r="12" spans="2:8" x14ac:dyDescent="0.3">
      <c r="B12" s="1" t="s">
        <v>34</v>
      </c>
      <c r="C12" s="1" t="s">
        <v>65</v>
      </c>
      <c r="D12" s="2">
        <v>29000000</v>
      </c>
      <c r="E12" s="2">
        <v>45000000</v>
      </c>
      <c r="F12" s="1" t="str">
        <f t="shared" si="0"/>
        <v>Baik</v>
      </c>
      <c r="G12" s="2">
        <f t="shared" si="1"/>
        <v>4000000</v>
      </c>
      <c r="H12" s="2">
        <f t="shared" si="2"/>
        <v>11100000</v>
      </c>
    </row>
    <row r="14" spans="2:8" x14ac:dyDescent="0.3">
      <c r="B14" s="6" t="s">
        <v>13</v>
      </c>
      <c r="C14" s="6"/>
    </row>
    <row r="15" spans="2:8" x14ac:dyDescent="0.3">
      <c r="B15" t="s">
        <v>70</v>
      </c>
    </row>
    <row r="16" spans="2:8" x14ac:dyDescent="0.3">
      <c r="B16" t="s">
        <v>66</v>
      </c>
    </row>
    <row r="17" spans="2:2" x14ac:dyDescent="0.3">
      <c r="B1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 Bertingkat</vt:lpstr>
      <vt:lpstr>IF dengan LEFT MID RIGHT</vt:lpstr>
      <vt:lpstr>IF dengan AND dan 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Al Hajjri</cp:lastModifiedBy>
  <dcterms:created xsi:type="dcterms:W3CDTF">2022-08-23T08:51:08Z</dcterms:created>
  <dcterms:modified xsi:type="dcterms:W3CDTF">2026-01-16T11:03:14Z</dcterms:modified>
</cp:coreProperties>
</file>