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BAA1BE4-C487-459F-A443-F4F1E1F64426}" xr6:coauthVersionLast="47" xr6:coauthVersionMax="47" xr10:uidLastSave="{00000000-0000-0000-0000-000000000000}"/>
  <bookViews>
    <workbookView xWindow="-108" yWindow="-108" windowWidth="23256" windowHeight="14616" xr2:uid="{1FE8ACD2-EDF2-41BA-A6E8-53B7F200D0AD}"/>
  </bookViews>
  <sheets>
    <sheet name="Tabel Input" sheetId="1" r:id="rId1"/>
    <sheet name="Tabel Referen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2" i="1" a="1"/>
  <c r="C2" i="1" s="1"/>
  <c r="C3" i="1"/>
  <c r="C4" i="1"/>
  <c r="C5" i="1"/>
  <c r="C6" i="1"/>
  <c r="C7" i="1"/>
  <c r="C8" i="1"/>
  <c r="C9" i="1"/>
  <c r="C10" i="1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<sst xmlns="http://schemas.openxmlformats.org/spreadsheetml/2006/main" count="66" uniqueCount="34">
  <si>
    <t>Nama Karyawan</t>
  </si>
  <si>
    <t>Penjualan</t>
  </si>
  <si>
    <t>Area Penempatan</t>
  </si>
  <si>
    <t>Area Penempatan Sekarang</t>
  </si>
  <si>
    <t>Komisi</t>
  </si>
  <si>
    <t>Ruben Ardi</t>
  </si>
  <si>
    <t>Disti Liana</t>
  </si>
  <si>
    <t>Juned Abdullah</t>
  </si>
  <si>
    <t>Aryanne Marina</t>
  </si>
  <si>
    <t>Mega Sarita</t>
  </si>
  <si>
    <t>Tono Marwan</t>
  </si>
  <si>
    <t>Shanty Salim</t>
  </si>
  <si>
    <t>Merry Agustinus</t>
  </si>
  <si>
    <t>Dwi Prayogo</t>
  </si>
  <si>
    <t>Jennifer Ria</t>
  </si>
  <si>
    <t>Penempatan</t>
  </si>
  <si>
    <t>Jenis Kelamin</t>
  </si>
  <si>
    <t>L</t>
  </si>
  <si>
    <t>P</t>
  </si>
  <si>
    <t>Jakarta</t>
  </si>
  <si>
    <t>Bekasi</t>
  </si>
  <si>
    <t>Karawang</t>
  </si>
  <si>
    <t>Lampung</t>
  </si>
  <si>
    <t>Yogyakarta</t>
  </si>
  <si>
    <t>Bandung</t>
  </si>
  <si>
    <t>Sorong</t>
  </si>
  <si>
    <t>Makassar</t>
  </si>
  <si>
    <t>Ternate</t>
  </si>
  <si>
    <t>Bali</t>
  </si>
  <si>
    <t>Palembang</t>
  </si>
  <si>
    <t>Medan</t>
  </si>
  <si>
    <t>Padang</t>
  </si>
  <si>
    <t>Tahun Mutasi</t>
  </si>
  <si>
    <t>Besar Komisi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</si>
</sst>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165" fontId="0" fillId="0" borderId="1" xfId="2" applyNumberFormat="1" applyFont="1" applyBorder="1"/>
    <xf numFmtId="164" fontId="0" fillId="0" borderId="1" xfId="1" applyNumberFormat="1" applyFont="1" applyFill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9095-BBED-4FFA-8533-86D92AD143D6}">
  <dimension ref="A1:E11"/>
  <sheetViews>
    <sheetView tabSelected="1" zoomScale="142" zoomScaleNormal="200" workbookViewId="0">
      <selection activeCell="F11" sqref="F11"/>
    </sheetView>
  </sheetViews>
  <sheetFormatPr defaultRowHeight="14.4" x14ac:dyDescent="0.3"/>
  <cols>
    <col min="1" max="1" width="17.109375" customWidth="1"/>
    <col min="2" max="2" width="13.88671875" customWidth="1"/>
    <col min="3" max="4" width="18.109375" customWidth="1"/>
    <col min="5" max="5" width="11.88671875" customWidth="1"/>
  </cols>
  <sheetData>
    <row r="1" spans="1:5" s="1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3">
        <v>15000000</v>
      </c>
      <c r="C2" s="2" t="str" cm="1">
        <f t="array" ref="C2">_xlfn.XLOOKUP(A2,'Tabel Referensi'!$D$2:D16,'Tabel Referensi'!$B$2:$B$16)</f>
        <v>Jakarta</v>
      </c>
      <c r="D2" s="2" t="str">
        <f>_xlfn.XLOOKUP('Tabel Input'!A2,'Tabel Referensi'!$D$2:$D$16,'Tabel Referensi'!$B$2:$B$16,,,-1)</f>
        <v>Palembang</v>
      </c>
      <c r="E2" s="5">
        <f>_xlfn.XLOOKUP('Tabel Input'!B2,'Tabel Referensi'!$G$2:$G$6,'Tabel Referensi'!$F$2:$F$6,,-1)</f>
        <v>2E-3</v>
      </c>
    </row>
    <row r="3" spans="1:5" x14ac:dyDescent="0.3">
      <c r="A3" s="2" t="s">
        <v>6</v>
      </c>
      <c r="B3" s="3">
        <v>13500000</v>
      </c>
      <c r="C3" s="2" t="str">
        <f>_xlfn.XLOOKUP(A3,'Tabel Referensi'!$D$2:$D$16,'Tabel Referensi'!$B$2:$B$16)</f>
        <v>Bekasi</v>
      </c>
      <c r="D3" s="2" t="str">
        <f>_xlfn.XLOOKUP('Tabel Input'!A3,'Tabel Referensi'!$D$2:$D$16,'Tabel Referensi'!$B$2:$B$16,,,-1)</f>
        <v>Bekasi</v>
      </c>
      <c r="E3" s="5">
        <f>_xlfn.XLOOKUP('Tabel Input'!B3,'Tabel Referensi'!$G$2:$G$6,'Tabel Referensi'!$F$2:$F$6,,-1)</f>
        <v>2E-3</v>
      </c>
    </row>
    <row r="4" spans="1:5" x14ac:dyDescent="0.3">
      <c r="A4" s="2" t="s">
        <v>7</v>
      </c>
      <c r="B4" s="3">
        <v>25000000</v>
      </c>
      <c r="C4" s="2" t="str">
        <f>_xlfn.XLOOKUP(A4,'Tabel Referensi'!$D$2:$D$16,'Tabel Referensi'!$B$2:$B$16)</f>
        <v>Karawang</v>
      </c>
      <c r="D4" s="2" t="str">
        <f>_xlfn.XLOOKUP('Tabel Input'!A4,'Tabel Referensi'!$D$2:$D$16,'Tabel Referensi'!$B$2:$B$16,,,-1)</f>
        <v>Jakarta</v>
      </c>
      <c r="E4" s="5">
        <f>_xlfn.XLOOKUP('Tabel Input'!B4,'Tabel Referensi'!$G$2:$G$6,'Tabel Referensi'!$F$2:$F$6,,-1)</f>
        <v>3.0000000000000001E-3</v>
      </c>
    </row>
    <row r="5" spans="1:5" x14ac:dyDescent="0.3">
      <c r="A5" s="2" t="s">
        <v>8</v>
      </c>
      <c r="B5" s="3">
        <v>39000000</v>
      </c>
      <c r="C5" s="2" t="str">
        <f>_xlfn.XLOOKUP(A5,'Tabel Referensi'!$D$2:$D$16,'Tabel Referensi'!$B$2:$B$16)</f>
        <v>Sorong</v>
      </c>
      <c r="D5" s="2" t="str">
        <f>_xlfn.XLOOKUP('Tabel Input'!A5,'Tabel Referensi'!$D$2:$D$16,'Tabel Referensi'!$B$2:$B$16,,,-1)</f>
        <v>Sorong</v>
      </c>
      <c r="E5" s="5">
        <f>_xlfn.XLOOKUP('Tabel Input'!B5,'Tabel Referensi'!$G$2:$G$6,'Tabel Referensi'!$F$2:$F$6,,-1)</f>
        <v>4.0000000000000001E-3</v>
      </c>
    </row>
    <row r="6" spans="1:5" x14ac:dyDescent="0.3">
      <c r="A6" s="2" t="s">
        <v>9</v>
      </c>
      <c r="B6" s="3">
        <v>34000000</v>
      </c>
      <c r="C6" s="2" t="str">
        <f>_xlfn.XLOOKUP(A6,'Tabel Referensi'!$D$2:$D$16,'Tabel Referensi'!$B$2:$B$16)</f>
        <v>Makassar</v>
      </c>
      <c r="D6" s="2" t="str">
        <f>_xlfn.XLOOKUP('Tabel Input'!A6,'Tabel Referensi'!$D$2:$D$16,'Tabel Referensi'!$B$2:$B$16,,,-1)</f>
        <v>Makassar</v>
      </c>
      <c r="E6" s="5">
        <f>_xlfn.XLOOKUP('Tabel Input'!B6,'Tabel Referensi'!$G$2:$G$6,'Tabel Referensi'!$F$2:$F$6,,-1)</f>
        <v>4.0000000000000001E-3</v>
      </c>
    </row>
    <row r="7" spans="1:5" x14ac:dyDescent="0.3">
      <c r="A7" s="2" t="s">
        <v>10</v>
      </c>
      <c r="B7" s="3">
        <v>9500000</v>
      </c>
      <c r="C7" s="2" t="str">
        <f>_xlfn.XLOOKUP(A7,'Tabel Referensi'!$D$2:$D$16,'Tabel Referensi'!$B$2:$B$16)</f>
        <v>Ternate</v>
      </c>
      <c r="D7" s="2" t="str">
        <f>_xlfn.XLOOKUP('Tabel Input'!A7,'Tabel Referensi'!$D$2:$D$16,'Tabel Referensi'!$B$2:$B$16,,,-1)</f>
        <v>Ternate</v>
      </c>
      <c r="E7" s="5">
        <f>_xlfn.XLOOKUP('Tabel Input'!B7,'Tabel Referensi'!$G$2:$G$6,'Tabel Referensi'!$F$2:$F$6,,-1)</f>
        <v>1E-3</v>
      </c>
    </row>
    <row r="8" spans="1:5" x14ac:dyDescent="0.3">
      <c r="A8" s="2" t="s">
        <v>11</v>
      </c>
      <c r="B8" s="3">
        <v>11200000</v>
      </c>
      <c r="C8" s="2" t="str">
        <f>_xlfn.XLOOKUP(A8,'Tabel Referensi'!$D$2:$D$16,'Tabel Referensi'!$B$2:$B$16)</f>
        <v>Lampung</v>
      </c>
      <c r="D8" s="2" t="str">
        <f>_xlfn.XLOOKUP('Tabel Input'!A8,'Tabel Referensi'!$D$2:$D$16,'Tabel Referensi'!$B$2:$B$16,,,-1)</f>
        <v>Padang</v>
      </c>
      <c r="E8" s="5">
        <f>_xlfn.XLOOKUP('Tabel Input'!B8,'Tabel Referensi'!$G$2:$G$6,'Tabel Referensi'!$F$2:$F$6,,-1)</f>
        <v>2E-3</v>
      </c>
    </row>
    <row r="9" spans="1:5" x14ac:dyDescent="0.3">
      <c r="A9" s="2" t="s">
        <v>12</v>
      </c>
      <c r="B9" s="3">
        <v>3900000</v>
      </c>
      <c r="C9" s="2" t="str">
        <f>_xlfn.XLOOKUP(A9,'Tabel Referensi'!$D$2:$D$16,'Tabel Referensi'!$B$2:$B$16)</f>
        <v>Jakarta</v>
      </c>
      <c r="D9" s="2" t="str">
        <f>_xlfn.XLOOKUP('Tabel Input'!A9,'Tabel Referensi'!$D$2:$D$16,'Tabel Referensi'!$B$2:$B$16,,,-1)</f>
        <v>Medan</v>
      </c>
      <c r="E9" s="5">
        <f>_xlfn.XLOOKUP('Tabel Input'!B9,'Tabel Referensi'!$G$2:$G$6,'Tabel Referensi'!$F$2:$F$6,,-1)</f>
        <v>1E-3</v>
      </c>
    </row>
    <row r="10" spans="1:5" x14ac:dyDescent="0.3">
      <c r="A10" s="2" t="s">
        <v>13</v>
      </c>
      <c r="B10" s="3">
        <v>23000000</v>
      </c>
      <c r="C10" s="2" t="str">
        <f>_xlfn.XLOOKUP(A10,'Tabel Referensi'!$D$2:$D$16,'Tabel Referensi'!$B$2:$B$16)</f>
        <v>Yogyakarta</v>
      </c>
      <c r="D10" s="2" t="str">
        <f>_xlfn.XLOOKUP('Tabel Input'!A10,'Tabel Referensi'!$D$2:$D$16,'Tabel Referensi'!$B$2:$B$16,,,-1)</f>
        <v>Yogyakarta</v>
      </c>
      <c r="E10" s="5">
        <f>_xlfn.XLOOKUP('Tabel Input'!B10,'Tabel Referensi'!$G$2:$G$6,'Tabel Referensi'!$F$2:$F$6,,-1)</f>
        <v>3.0000000000000001E-3</v>
      </c>
    </row>
    <row r="11" spans="1:5" x14ac:dyDescent="0.3">
      <c r="A11" s="2" t="s">
        <v>14</v>
      </c>
      <c r="B11" s="3">
        <v>27000000</v>
      </c>
      <c r="C11" s="2" t="str">
        <f>_xlfn.XLOOKUP(A11,'Tabel Referensi'!$D$2:$D$16,'Tabel Referensi'!$B$2:$B$16)</f>
        <v>Bandung</v>
      </c>
      <c r="D11" s="2" t="str">
        <f>_xlfn.XLOOKUP('Tabel Input'!A11,'Tabel Referensi'!$D$2:$D$16,'Tabel Referensi'!$B$2:$B$16,,,-1)</f>
        <v>Bandung</v>
      </c>
      <c r="E11" s="5">
        <f>_xlfn.XLOOKUP('Tabel Input'!B11,'Tabel Referensi'!$G$2:$G$6,'Tabel Referensi'!$F$2:$F$6,,-1)</f>
        <v>3.0000000000000001E-3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29AB-4780-411B-8D80-1E0CF0CAD25A}">
  <dimension ref="A1:G16"/>
  <sheetViews>
    <sheetView zoomScale="151" zoomScaleNormal="200" workbookViewId="0">
      <selection activeCell="F8" sqref="F8"/>
    </sheetView>
  </sheetViews>
  <sheetFormatPr defaultRowHeight="14.4" x14ac:dyDescent="0.3"/>
  <cols>
    <col min="1" max="1" width="14.88671875" customWidth="1"/>
    <col min="2" max="3" width="15.109375" customWidth="1"/>
    <col min="4" max="4" width="25.33203125" customWidth="1"/>
    <col min="6" max="6" width="14.44140625" customWidth="1"/>
    <col min="7" max="7" width="17.33203125" customWidth="1"/>
  </cols>
  <sheetData>
    <row r="1" spans="1:7" x14ac:dyDescent="0.3">
      <c r="A1" s="4" t="s">
        <v>32</v>
      </c>
      <c r="B1" s="4" t="s">
        <v>15</v>
      </c>
      <c r="C1" s="4" t="s">
        <v>16</v>
      </c>
      <c r="D1" s="4" t="s">
        <v>0</v>
      </c>
      <c r="F1" s="4" t="s">
        <v>33</v>
      </c>
      <c r="G1" s="4" t="s">
        <v>1</v>
      </c>
    </row>
    <row r="2" spans="1:7" x14ac:dyDescent="0.3">
      <c r="A2" s="7">
        <v>2020</v>
      </c>
      <c r="B2" s="2" t="s">
        <v>19</v>
      </c>
      <c r="C2" s="2" t="s">
        <v>17</v>
      </c>
      <c r="D2" s="2" t="s">
        <v>5</v>
      </c>
      <c r="F2" s="5">
        <v>1E-3</v>
      </c>
      <c r="G2" s="3">
        <v>500000</v>
      </c>
    </row>
    <row r="3" spans="1:7" x14ac:dyDescent="0.3">
      <c r="A3" s="7">
        <v>2020</v>
      </c>
      <c r="B3" s="2" t="s">
        <v>20</v>
      </c>
      <c r="C3" s="2" t="s">
        <v>18</v>
      </c>
      <c r="D3" s="2" t="s">
        <v>6</v>
      </c>
      <c r="F3" s="5">
        <v>2E-3</v>
      </c>
      <c r="G3" s="3">
        <v>10000000</v>
      </c>
    </row>
    <row r="4" spans="1:7" x14ac:dyDescent="0.3">
      <c r="A4" s="7">
        <v>2020</v>
      </c>
      <c r="B4" s="2" t="s">
        <v>21</v>
      </c>
      <c r="C4" s="2" t="s">
        <v>17</v>
      </c>
      <c r="D4" s="2" t="s">
        <v>7</v>
      </c>
      <c r="F4" s="5">
        <v>3.0000000000000001E-3</v>
      </c>
      <c r="G4" s="3">
        <v>20000000</v>
      </c>
    </row>
    <row r="5" spans="1:7" x14ac:dyDescent="0.3">
      <c r="A5" s="7">
        <v>2020</v>
      </c>
      <c r="B5" s="2" t="s">
        <v>22</v>
      </c>
      <c r="C5" s="2" t="s">
        <v>18</v>
      </c>
      <c r="D5" s="2" t="s">
        <v>11</v>
      </c>
      <c r="F5" s="5">
        <v>4.0000000000000001E-3</v>
      </c>
      <c r="G5" s="3">
        <v>30000000</v>
      </c>
    </row>
    <row r="6" spans="1:7" x14ac:dyDescent="0.3">
      <c r="A6" s="7">
        <v>2020</v>
      </c>
      <c r="B6" s="2" t="s">
        <v>19</v>
      </c>
      <c r="C6" s="2" t="s">
        <v>18</v>
      </c>
      <c r="D6" s="2" t="s">
        <v>12</v>
      </c>
      <c r="F6" s="5">
        <v>5.0000000000000001E-3</v>
      </c>
      <c r="G6" s="6">
        <v>40000000</v>
      </c>
    </row>
    <row r="7" spans="1:7" x14ac:dyDescent="0.3">
      <c r="A7" s="7">
        <v>2020</v>
      </c>
      <c r="B7" s="2" t="s">
        <v>23</v>
      </c>
      <c r="C7" s="2" t="s">
        <v>17</v>
      </c>
      <c r="D7" s="2" t="s">
        <v>13</v>
      </c>
    </row>
    <row r="8" spans="1:7" x14ac:dyDescent="0.3">
      <c r="A8" s="7">
        <v>2020</v>
      </c>
      <c r="B8" s="2" t="s">
        <v>24</v>
      </c>
      <c r="C8" s="2" t="s">
        <v>18</v>
      </c>
      <c r="D8" s="2" t="s">
        <v>14</v>
      </c>
    </row>
    <row r="9" spans="1:7" x14ac:dyDescent="0.3">
      <c r="A9" s="7">
        <v>2020</v>
      </c>
      <c r="B9" s="2" t="s">
        <v>25</v>
      </c>
      <c r="C9" s="2" t="s">
        <v>18</v>
      </c>
      <c r="D9" s="2" t="s">
        <v>8</v>
      </c>
    </row>
    <row r="10" spans="1:7" x14ac:dyDescent="0.3">
      <c r="A10" s="7">
        <v>2020</v>
      </c>
      <c r="B10" s="2" t="s">
        <v>26</v>
      </c>
      <c r="C10" s="2" t="s">
        <v>18</v>
      </c>
      <c r="D10" s="2" t="s">
        <v>9</v>
      </c>
    </row>
    <row r="11" spans="1:7" x14ac:dyDescent="0.3">
      <c r="A11" s="7">
        <v>2020</v>
      </c>
      <c r="B11" s="2" t="s">
        <v>27</v>
      </c>
      <c r="C11" s="2" t="s">
        <v>17</v>
      </c>
      <c r="D11" s="2" t="s">
        <v>10</v>
      </c>
    </row>
    <row r="12" spans="1:7" x14ac:dyDescent="0.3">
      <c r="A12" s="7">
        <v>2021</v>
      </c>
      <c r="B12" s="2" t="s">
        <v>28</v>
      </c>
      <c r="C12" s="2" t="s">
        <v>18</v>
      </c>
      <c r="D12" s="2" t="s">
        <v>12</v>
      </c>
    </row>
    <row r="13" spans="1:7" x14ac:dyDescent="0.3">
      <c r="A13" s="7">
        <v>2021</v>
      </c>
      <c r="B13" s="2" t="s">
        <v>19</v>
      </c>
      <c r="C13" s="2" t="s">
        <v>17</v>
      </c>
      <c r="D13" s="2" t="s">
        <v>7</v>
      </c>
    </row>
    <row r="14" spans="1:7" x14ac:dyDescent="0.3">
      <c r="A14" s="7">
        <v>2021</v>
      </c>
      <c r="B14" s="2" t="s">
        <v>29</v>
      </c>
      <c r="C14" s="2" t="s">
        <v>17</v>
      </c>
      <c r="D14" s="2" t="s">
        <v>5</v>
      </c>
    </row>
    <row r="15" spans="1:7" x14ac:dyDescent="0.3">
      <c r="A15" s="7">
        <v>2022</v>
      </c>
      <c r="B15" s="2" t="s">
        <v>30</v>
      </c>
      <c r="C15" s="2" t="s">
        <v>18</v>
      </c>
      <c r="D15" s="2" t="s">
        <v>12</v>
      </c>
    </row>
    <row r="16" spans="1:7" x14ac:dyDescent="0.3">
      <c r="A16" s="7">
        <v>2022</v>
      </c>
      <c r="B16" s="2" t="s">
        <v>31</v>
      </c>
      <c r="C16" s="2" t="s">
        <v>18</v>
      </c>
      <c r="D16" s="2" t="s">
        <v>11</v>
      </c>
    </row>
  </sheetData>
  <sortState xmlns:xlrd2="http://schemas.microsoft.com/office/spreadsheetml/2017/richdata2" ref="F2:G6">
    <sortCondition ref="G1:G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 Input</vt:lpstr>
      <vt:lpstr>Tabel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Al Hajjri</cp:lastModifiedBy>
  <dcterms:created xsi:type="dcterms:W3CDTF">2021-07-09T09:52:38Z</dcterms:created>
  <dcterms:modified xsi:type="dcterms:W3CDTF">2026-01-19T12:46:09Z</dcterms:modified>
</cp:coreProperties>
</file>