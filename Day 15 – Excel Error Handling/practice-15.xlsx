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5D72165-0F52-4C38-9A8A-39D60900B661}" xr6:coauthVersionLast="47" xr6:coauthVersionMax="47" xr10:uidLastSave="{00000000-0000-0000-0000-000000000000}"/>
  <bookViews>
    <workbookView xWindow="-108" yWindow="-108" windowWidth="23256" windowHeight="14616" activeTab="7" xr2:uid="{6F159018-B871-46D4-AFA7-4457C77323A5}"/>
  </bookViews>
  <sheets>
    <sheet name="#NA" sheetId="1" r:id="rId1"/>
    <sheet name="#Div0" sheetId="3" r:id="rId2"/>
    <sheet name="#Name" sheetId="4" r:id="rId3"/>
    <sheet name="#Num" sheetId="5" r:id="rId4"/>
    <sheet name="#Value" sheetId="6" r:id="rId5"/>
    <sheet name="#REF" sheetId="8" r:id="rId6"/>
    <sheet name="#NULL" sheetId="9" r:id="rId7"/>
    <sheet name="######" sheetId="10" r:id="rId8"/>
    <sheet name="#Calc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2" l="1" a="1"/>
  <c r="F3" i="12" s="1"/>
  <c r="D4" i="10"/>
  <c r="D5" i="10"/>
  <c r="D6" i="10"/>
  <c r="D7" i="10"/>
  <c r="D3" i="10"/>
  <c r="B8" i="9"/>
  <c r="B14" i="8"/>
  <c r="B13" i="8"/>
  <c r="B12" i="8"/>
  <c r="B11" i="8"/>
  <c r="B10" i="8"/>
  <c r="B5" i="6"/>
  <c r="B4" i="5"/>
  <c r="B5" i="5"/>
  <c r="B3" i="5"/>
  <c r="E3" i="4" a="1"/>
  <c r="E3" i="4" s="1"/>
  <c r="D4" i="3"/>
  <c r="D5" i="3"/>
  <c r="D6" i="3"/>
  <c r="D7" i="3"/>
  <c r="D3" i="3"/>
  <c r="E6" i="1"/>
  <c r="E3" i="1"/>
  <c r="C4" i="8"/>
  <c r="C5" i="8"/>
  <c r="C6" i="8"/>
  <c r="C7" i="8"/>
  <c r="C3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<sst xmlns="http://schemas.openxmlformats.org/spreadsheetml/2006/main" count="90" uniqueCount="24">
  <si>
    <t>Merk Hp.</t>
  </si>
  <si>
    <t>Harga</t>
  </si>
  <si>
    <t>iPhone</t>
  </si>
  <si>
    <t>Samsung</t>
  </si>
  <si>
    <t>Xiao Mi</t>
  </si>
  <si>
    <t>Vivo</t>
  </si>
  <si>
    <t>Oppo</t>
  </si>
  <si>
    <t>Nokia</t>
  </si>
  <si>
    <t>Pcs Terjual</t>
  </si>
  <si>
    <t>Total Omset</t>
  </si>
  <si>
    <t>Harga per Pcs</t>
  </si>
  <si>
    <t>Angka</t>
  </si>
  <si>
    <t>Akar</t>
  </si>
  <si>
    <t>Gratis</t>
  </si>
  <si>
    <t>Total</t>
  </si>
  <si>
    <t>Total Penjualan</t>
  </si>
  <si>
    <t>######</t>
  </si>
  <si>
    <t>Pcs</t>
  </si>
  <si>
    <t>Omset</t>
  </si>
  <si>
    <t>Tipe</t>
  </si>
  <si>
    <t>S20</t>
  </si>
  <si>
    <t>A12</t>
  </si>
  <si>
    <t>TX1</t>
  </si>
  <si>
    <t>Merk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</si>
</sst>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64" fontId="0" fillId="0" borderId="1" xfId="1" applyNumberFormat="1" applyFont="1" applyBorder="1"/>
    <xf numFmtId="0" fontId="3" fillId="0" borderId="0" xfId="0" applyFont="1" applyAlignment="1">
      <alignment horizontal="left"/>
    </xf>
    <xf numFmtId="164" fontId="0" fillId="0" borderId="1" xfId="0" applyNumberFormat="1" applyBorder="1"/>
    <xf numFmtId="164" fontId="0" fillId="0" borderId="1" xfId="1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92F7-906F-48CD-9346-48517AE62D7D}">
  <dimension ref="A1:E7"/>
  <sheetViews>
    <sheetView showGridLines="0" zoomScale="190" zoomScaleNormal="190" workbookViewId="0">
      <selection activeCell="E7" sqref="E7"/>
    </sheetView>
  </sheetViews>
  <sheetFormatPr defaultRowHeight="14.4" x14ac:dyDescent="0.3"/>
  <cols>
    <col min="1" max="2" width="16.44140625" customWidth="1"/>
    <col min="4" max="5" width="16.44140625" customWidth="1"/>
  </cols>
  <sheetData>
    <row r="1" spans="1:5" ht="25.8" x14ac:dyDescent="0.5">
      <c r="A1" s="4" t="e">
        <v>#N/A</v>
      </c>
    </row>
    <row r="2" spans="1:5" x14ac:dyDescent="0.3">
      <c r="A2" s="2" t="s">
        <v>0</v>
      </c>
      <c r="B2" s="2" t="s">
        <v>1</v>
      </c>
      <c r="D2" s="2" t="s">
        <v>0</v>
      </c>
      <c r="E2" s="2" t="s">
        <v>1</v>
      </c>
    </row>
    <row r="3" spans="1:5" x14ac:dyDescent="0.3">
      <c r="A3" s="1" t="s">
        <v>2</v>
      </c>
      <c r="B3" s="3">
        <v>12000000</v>
      </c>
      <c r="D3" s="1" t="s">
        <v>7</v>
      </c>
      <c r="E3" s="1" t="e">
        <f>VLOOKUP(D3,$A$2:$B$7,2,FALSE)</f>
        <v>#N/A</v>
      </c>
    </row>
    <row r="4" spans="1:5" x14ac:dyDescent="0.3">
      <c r="A4" s="1" t="s">
        <v>3</v>
      </c>
      <c r="B4" s="3">
        <v>5000000</v>
      </c>
    </row>
    <row r="5" spans="1:5" x14ac:dyDescent="0.3">
      <c r="A5" s="1" t="s">
        <v>4</v>
      </c>
      <c r="B5" s="3">
        <v>3500000</v>
      </c>
      <c r="D5" s="2" t="s">
        <v>0</v>
      </c>
      <c r="E5" s="2" t="s">
        <v>1</v>
      </c>
    </row>
    <row r="6" spans="1:5" x14ac:dyDescent="0.3">
      <c r="A6" s="1" t="s">
        <v>5</v>
      </c>
      <c r="B6" s="3">
        <v>4600000</v>
      </c>
      <c r="D6" s="1" t="s">
        <v>7</v>
      </c>
      <c r="E6" s="1" t="str">
        <f>IFERROR(VLOOKUP(D6,$A$2:$B$7,2,FALSE),"Tidak ada")</f>
        <v>Tidak ada</v>
      </c>
    </row>
    <row r="7" spans="1:5" x14ac:dyDescent="0.3">
      <c r="A7" s="1" t="s">
        <v>6</v>
      </c>
      <c r="B7" s="3">
        <v>5200000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3F72-C345-42DC-9D97-90C93D045456}">
  <dimension ref="A1:D7"/>
  <sheetViews>
    <sheetView showGridLines="0" zoomScale="220" zoomScaleNormal="220" workbookViewId="0">
      <selection activeCell="B5" sqref="B5"/>
    </sheetView>
  </sheetViews>
  <sheetFormatPr defaultRowHeight="14.4" x14ac:dyDescent="0.3"/>
  <cols>
    <col min="1" max="1" width="16.44140625" customWidth="1"/>
    <col min="2" max="2" width="11.44140625" customWidth="1"/>
    <col min="3" max="4" width="16.44140625" customWidth="1"/>
  </cols>
  <sheetData>
    <row r="1" spans="1:4" ht="25.8" x14ac:dyDescent="0.5">
      <c r="A1" s="4" t="e">
        <v>#DIV/0!</v>
      </c>
      <c r="B1" s="4"/>
      <c r="C1" s="4"/>
    </row>
    <row r="2" spans="1:4" x14ac:dyDescent="0.3">
      <c r="A2" s="2" t="s">
        <v>0</v>
      </c>
      <c r="B2" s="2" t="s">
        <v>8</v>
      </c>
      <c r="C2" s="2" t="s">
        <v>9</v>
      </c>
      <c r="D2" s="2" t="s">
        <v>10</v>
      </c>
    </row>
    <row r="3" spans="1:4" x14ac:dyDescent="0.3">
      <c r="A3" s="1" t="s">
        <v>2</v>
      </c>
      <c r="B3" s="1">
        <v>3</v>
      </c>
      <c r="C3" s="3">
        <v>36000000</v>
      </c>
      <c r="D3" s="5">
        <f>C3/B3</f>
        <v>12000000</v>
      </c>
    </row>
    <row r="4" spans="1:4" x14ac:dyDescent="0.3">
      <c r="A4" s="1" t="s">
        <v>3</v>
      </c>
      <c r="B4" s="1">
        <v>0</v>
      </c>
      <c r="C4" s="3">
        <v>10000000</v>
      </c>
      <c r="D4" s="5" t="e">
        <f t="shared" ref="D4:D7" si="0">C4/B4</f>
        <v>#DIV/0!</v>
      </c>
    </row>
    <row r="5" spans="1:4" x14ac:dyDescent="0.3">
      <c r="A5" s="1" t="s">
        <v>4</v>
      </c>
      <c r="B5" s="1">
        <v>3</v>
      </c>
      <c r="C5" s="3">
        <v>9000000</v>
      </c>
      <c r="D5" s="5">
        <f t="shared" si="0"/>
        <v>3000000</v>
      </c>
    </row>
    <row r="6" spans="1:4" x14ac:dyDescent="0.3">
      <c r="A6" s="1" t="s">
        <v>5</v>
      </c>
      <c r="B6" s="1">
        <v>4</v>
      </c>
      <c r="C6" s="3">
        <v>13000000</v>
      </c>
      <c r="D6" s="5">
        <f t="shared" si="0"/>
        <v>3250000</v>
      </c>
    </row>
    <row r="7" spans="1:4" x14ac:dyDescent="0.3">
      <c r="A7" s="1" t="s">
        <v>6</v>
      </c>
      <c r="B7" s="1">
        <v>2</v>
      </c>
      <c r="C7" s="3">
        <v>9000000</v>
      </c>
      <c r="D7" s="5">
        <f t="shared" si="0"/>
        <v>4500000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309C-C84F-4F70-AA1E-CA1B4BCEF53B}">
  <dimension ref="A1:E7"/>
  <sheetViews>
    <sheetView showGridLines="0" zoomScale="235" zoomScaleNormal="235" workbookViewId="0">
      <selection activeCell="E4" sqref="E4"/>
    </sheetView>
  </sheetViews>
  <sheetFormatPr defaultRowHeight="14.4" x14ac:dyDescent="0.3"/>
  <cols>
    <col min="1" max="2" width="16.44140625" customWidth="1"/>
    <col min="4" max="5" width="16.44140625" customWidth="1"/>
  </cols>
  <sheetData>
    <row r="1" spans="1:5" ht="25.8" x14ac:dyDescent="0.5">
      <c r="A1" s="4" t="e">
        <v>#NAME?</v>
      </c>
    </row>
    <row r="2" spans="1:5" x14ac:dyDescent="0.3">
      <c r="A2" s="2" t="s">
        <v>0</v>
      </c>
      <c r="B2" s="2" t="s">
        <v>1</v>
      </c>
      <c r="D2" s="2" t="s">
        <v>0</v>
      </c>
      <c r="E2" s="2" t="s">
        <v>1</v>
      </c>
    </row>
    <row r="3" spans="1:5" x14ac:dyDescent="0.3">
      <c r="A3" s="1" t="s">
        <v>2</v>
      </c>
      <c r="B3" s="3">
        <v>12000000</v>
      </c>
      <c r="D3" s="1" t="s">
        <v>2</v>
      </c>
      <c r="E3" s="3" t="e" cm="1">
        <f t="array" aca="1" ref="E3" ca="1">VLOOKUPs(D3,$A$2:$B$7,2,0)</f>
        <v>#NAME?</v>
      </c>
    </row>
    <row r="4" spans="1:5" x14ac:dyDescent="0.3">
      <c r="A4" s="1" t="s">
        <v>3</v>
      </c>
      <c r="B4" s="3">
        <v>5000000</v>
      </c>
    </row>
    <row r="5" spans="1:5" x14ac:dyDescent="0.3">
      <c r="A5" s="1" t="s">
        <v>4</v>
      </c>
      <c r="B5" s="3">
        <v>3500000</v>
      </c>
    </row>
    <row r="6" spans="1:5" x14ac:dyDescent="0.3">
      <c r="A6" s="1" t="s">
        <v>5</v>
      </c>
      <c r="B6" s="3">
        <v>4600000</v>
      </c>
    </row>
    <row r="7" spans="1:5" x14ac:dyDescent="0.3">
      <c r="A7" s="1" t="s">
        <v>6</v>
      </c>
      <c r="B7" s="3">
        <v>5200000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B908-4781-4D0B-96CF-6270074713E8}">
  <dimension ref="A1:B5"/>
  <sheetViews>
    <sheetView showGridLines="0" zoomScale="300" zoomScaleNormal="300" workbookViewId="0">
      <selection activeCell="B3" sqref="B3:B5"/>
    </sheetView>
  </sheetViews>
  <sheetFormatPr defaultRowHeight="14.4" x14ac:dyDescent="0.3"/>
  <cols>
    <col min="1" max="2" width="16" customWidth="1"/>
    <col min="3" max="3" width="41.109375" bestFit="1" customWidth="1"/>
  </cols>
  <sheetData>
    <row r="1" spans="1:2" ht="25.8" x14ac:dyDescent="0.5">
      <c r="A1" s="4" t="e">
        <v>#NUM!</v>
      </c>
    </row>
    <row r="2" spans="1:2" x14ac:dyDescent="0.3">
      <c r="A2" s="2" t="s">
        <v>11</v>
      </c>
      <c r="B2" s="2" t="s">
        <v>12</v>
      </c>
    </row>
    <row r="3" spans="1:2" x14ac:dyDescent="0.3">
      <c r="A3" s="1">
        <v>25</v>
      </c>
      <c r="B3" s="3">
        <f>SQRT(A3)</f>
        <v>5</v>
      </c>
    </row>
    <row r="4" spans="1:2" x14ac:dyDescent="0.3">
      <c r="A4" s="1">
        <v>144</v>
      </c>
      <c r="B4" s="3">
        <f t="shared" ref="B4:B5" si="0">SQRT(A4)</f>
        <v>12</v>
      </c>
    </row>
    <row r="5" spans="1:2" x14ac:dyDescent="0.3">
      <c r="A5" s="1">
        <v>-36</v>
      </c>
      <c r="B5" s="3" t="e">
        <f t="shared" si="0"/>
        <v>#NUM!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7A5F-474D-4EFE-B6F9-3D5583540133}">
  <dimension ref="A1:B5"/>
  <sheetViews>
    <sheetView showGridLines="0" zoomScale="260" zoomScaleNormal="260" workbookViewId="0">
      <selection activeCell="B6" sqref="B6"/>
    </sheetView>
  </sheetViews>
  <sheetFormatPr defaultRowHeight="14.4" x14ac:dyDescent="0.3"/>
  <cols>
    <col min="1" max="2" width="16" customWidth="1"/>
    <col min="3" max="3" width="41.109375" bestFit="1" customWidth="1"/>
  </cols>
  <sheetData>
    <row r="1" spans="1:2" ht="25.8" x14ac:dyDescent="0.5">
      <c r="A1" s="4" t="e">
        <v>#VALUE!</v>
      </c>
    </row>
    <row r="2" spans="1:2" x14ac:dyDescent="0.3">
      <c r="A2" s="2" t="s">
        <v>0</v>
      </c>
      <c r="B2" s="2" t="s">
        <v>1</v>
      </c>
    </row>
    <row r="3" spans="1:2" x14ac:dyDescent="0.3">
      <c r="A3" s="1" t="s">
        <v>2</v>
      </c>
      <c r="B3" s="3">
        <v>12000000</v>
      </c>
    </row>
    <row r="4" spans="1:2" x14ac:dyDescent="0.3">
      <c r="A4" s="1" t="s">
        <v>4</v>
      </c>
      <c r="B4" s="6" t="s">
        <v>13</v>
      </c>
    </row>
    <row r="5" spans="1:2" x14ac:dyDescent="0.3">
      <c r="A5" s="1" t="s">
        <v>14</v>
      </c>
      <c r="B5" s="6" t="e">
        <f>B3+B4</f>
        <v>#VALUE!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6EBA-8963-4E72-B7FA-3A2A20658EED}">
  <dimension ref="A1:C14"/>
  <sheetViews>
    <sheetView showGridLines="0" topLeftCell="A2" zoomScale="190" zoomScaleNormal="190" workbookViewId="0">
      <selection activeCell="B9" sqref="B9:B14"/>
    </sheetView>
  </sheetViews>
  <sheetFormatPr defaultRowHeight="14.4" x14ac:dyDescent="0.3"/>
  <cols>
    <col min="1" max="1" width="13.44140625" customWidth="1"/>
    <col min="2" max="2" width="18" customWidth="1"/>
    <col min="3" max="3" width="16.44140625" customWidth="1"/>
  </cols>
  <sheetData>
    <row r="1" spans="1:3" ht="25.8" x14ac:dyDescent="0.5">
      <c r="A1" s="4" t="e">
        <v>#REF!</v>
      </c>
      <c r="B1" s="4"/>
    </row>
    <row r="2" spans="1:3" x14ac:dyDescent="0.3">
      <c r="A2" s="2" t="s">
        <v>0</v>
      </c>
      <c r="B2" s="2" t="s">
        <v>8</v>
      </c>
      <c r="C2" s="2" t="s">
        <v>15</v>
      </c>
    </row>
    <row r="3" spans="1:3" x14ac:dyDescent="0.3">
      <c r="A3" s="1" t="s">
        <v>2</v>
      </c>
      <c r="B3" s="1">
        <v>3</v>
      </c>
      <c r="C3" s="5">
        <f>B3*10000000</f>
        <v>30000000</v>
      </c>
    </row>
    <row r="4" spans="1:3" x14ac:dyDescent="0.3">
      <c r="A4" s="1" t="s">
        <v>3</v>
      </c>
      <c r="B4" s="1">
        <v>2</v>
      </c>
      <c r="C4" s="5">
        <f t="shared" ref="C4:C7" si="0">B4*10000000</f>
        <v>20000000</v>
      </c>
    </row>
    <row r="5" spans="1:3" x14ac:dyDescent="0.3">
      <c r="A5" s="1" t="s">
        <v>4</v>
      </c>
      <c r="B5" s="1">
        <v>3</v>
      </c>
      <c r="C5" s="5">
        <f t="shared" si="0"/>
        <v>30000000</v>
      </c>
    </row>
    <row r="6" spans="1:3" x14ac:dyDescent="0.3">
      <c r="A6" s="1" t="s">
        <v>5</v>
      </c>
      <c r="B6" s="1">
        <v>4</v>
      </c>
      <c r="C6" s="5">
        <f t="shared" si="0"/>
        <v>40000000</v>
      </c>
    </row>
    <row r="7" spans="1:3" x14ac:dyDescent="0.3">
      <c r="A7" s="1" t="s">
        <v>6</v>
      </c>
      <c r="B7" s="1">
        <v>2</v>
      </c>
      <c r="C7" s="5">
        <f t="shared" si="0"/>
        <v>20000000</v>
      </c>
    </row>
    <row r="9" spans="1:3" x14ac:dyDescent="0.3">
      <c r="A9" s="2" t="s">
        <v>0</v>
      </c>
      <c r="B9" s="2" t="s">
        <v>15</v>
      </c>
    </row>
    <row r="10" spans="1:3" x14ac:dyDescent="0.3">
      <c r="A10" s="1" t="s">
        <v>2</v>
      </c>
      <c r="B10" s="5" t="e">
        <f>#REF!*10000000</f>
        <v>#REF!</v>
      </c>
    </row>
    <row r="11" spans="1:3" x14ac:dyDescent="0.3">
      <c r="A11" s="1" t="s">
        <v>3</v>
      </c>
      <c r="B11" s="5" t="e">
        <f>#REF!*10000000</f>
        <v>#REF!</v>
      </c>
    </row>
    <row r="12" spans="1:3" x14ac:dyDescent="0.3">
      <c r="A12" s="1" t="s">
        <v>4</v>
      </c>
      <c r="B12" s="5" t="e">
        <f>#REF!*10000000</f>
        <v>#REF!</v>
      </c>
    </row>
    <row r="13" spans="1:3" x14ac:dyDescent="0.3">
      <c r="A13" s="1" t="s">
        <v>5</v>
      </c>
      <c r="B13" s="5" t="e">
        <f>#REF!*10000000</f>
        <v>#REF!</v>
      </c>
    </row>
    <row r="14" spans="1:3" x14ac:dyDescent="0.3">
      <c r="A14" s="1" t="s">
        <v>6</v>
      </c>
      <c r="B14" s="5" t="e">
        <f>#REF!*10000000</f>
        <v>#REF!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A931-4861-40E1-8838-DF2B54558D24}">
  <dimension ref="A1:B8"/>
  <sheetViews>
    <sheetView showGridLines="0" zoomScale="260" zoomScaleNormal="260" workbookViewId="0">
      <selection activeCell="B8" sqref="B8"/>
    </sheetView>
  </sheetViews>
  <sheetFormatPr defaultRowHeight="14.4" x14ac:dyDescent="0.3"/>
  <cols>
    <col min="1" max="2" width="16.44140625" customWidth="1"/>
  </cols>
  <sheetData>
    <row r="1" spans="1:2" ht="25.8" x14ac:dyDescent="0.5">
      <c r="A1" s="4" t="e">
        <v>#NULL!</v>
      </c>
    </row>
    <row r="2" spans="1:2" x14ac:dyDescent="0.3">
      <c r="A2" s="2" t="s">
        <v>0</v>
      </c>
      <c r="B2" s="2" t="s">
        <v>1</v>
      </c>
    </row>
    <row r="3" spans="1:2" x14ac:dyDescent="0.3">
      <c r="A3" s="1" t="s">
        <v>2</v>
      </c>
      <c r="B3" s="3">
        <v>12000000</v>
      </c>
    </row>
    <row r="4" spans="1:2" x14ac:dyDescent="0.3">
      <c r="A4" s="1" t="s">
        <v>3</v>
      </c>
      <c r="B4" s="3">
        <v>5000000</v>
      </c>
    </row>
    <row r="5" spans="1:2" x14ac:dyDescent="0.3">
      <c r="A5" s="1" t="s">
        <v>4</v>
      </c>
      <c r="B5" s="3">
        <v>3500000</v>
      </c>
    </row>
    <row r="6" spans="1:2" x14ac:dyDescent="0.3">
      <c r="A6" s="1" t="s">
        <v>5</v>
      </c>
      <c r="B6" s="3">
        <v>4600000</v>
      </c>
    </row>
    <row r="7" spans="1:2" x14ac:dyDescent="0.3">
      <c r="A7" s="1" t="s">
        <v>6</v>
      </c>
      <c r="B7" s="3">
        <v>5200000</v>
      </c>
    </row>
    <row r="8" spans="1:2" x14ac:dyDescent="0.3">
      <c r="A8" s="1" t="s">
        <v>14</v>
      </c>
      <c r="B8" s="3" t="e">
        <f>SUM(B3 B7)</f>
        <v>#NULL!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6DAF-8596-481B-9B44-10A8333DD356}">
  <dimension ref="A1:D7"/>
  <sheetViews>
    <sheetView showGridLines="0" tabSelected="1" zoomScale="260" zoomScaleNormal="260" workbookViewId="0">
      <selection activeCell="D3" sqref="D3:D7"/>
    </sheetView>
  </sheetViews>
  <sheetFormatPr defaultRowHeight="14.4" x14ac:dyDescent="0.3"/>
  <cols>
    <col min="1" max="2" width="16.44140625" customWidth="1"/>
    <col min="4" max="4" width="9.88671875" customWidth="1"/>
  </cols>
  <sheetData>
    <row r="1" spans="1:4" ht="25.8" x14ac:dyDescent="0.5">
      <c r="A1" s="4" t="s">
        <v>16</v>
      </c>
    </row>
    <row r="2" spans="1:4" x14ac:dyDescent="0.3">
      <c r="A2" s="2" t="s">
        <v>0</v>
      </c>
      <c r="B2" s="2" t="s">
        <v>1</v>
      </c>
      <c r="C2" s="2" t="s">
        <v>17</v>
      </c>
      <c r="D2" s="2" t="s">
        <v>18</v>
      </c>
    </row>
    <row r="3" spans="1:4" x14ac:dyDescent="0.3">
      <c r="A3" s="1" t="s">
        <v>2</v>
      </c>
      <c r="B3" s="3">
        <v>12000000</v>
      </c>
      <c r="C3" s="3">
        <v>130</v>
      </c>
      <c r="D3" s="3">
        <f>B3*C3</f>
        <v>1560000000</v>
      </c>
    </row>
    <row r="4" spans="1:4" x14ac:dyDescent="0.3">
      <c r="A4" s="1" t="s">
        <v>3</v>
      </c>
      <c r="B4" s="3">
        <v>5000000</v>
      </c>
      <c r="C4" s="3">
        <v>86</v>
      </c>
      <c r="D4" s="3">
        <f t="shared" ref="D4:D7" si="0">B4*C4</f>
        <v>430000000</v>
      </c>
    </row>
    <row r="5" spans="1:4" x14ac:dyDescent="0.3">
      <c r="A5" s="1" t="s">
        <v>4</v>
      </c>
      <c r="B5" s="3">
        <v>3500000</v>
      </c>
      <c r="C5" s="3">
        <v>27</v>
      </c>
      <c r="D5" s="3">
        <f t="shared" si="0"/>
        <v>94500000</v>
      </c>
    </row>
    <row r="6" spans="1:4" x14ac:dyDescent="0.3">
      <c r="A6" s="1" t="s">
        <v>5</v>
      </c>
      <c r="B6" s="3">
        <v>4600000</v>
      </c>
      <c r="C6" s="3">
        <v>47</v>
      </c>
      <c r="D6" s="3">
        <f t="shared" si="0"/>
        <v>216200000</v>
      </c>
    </row>
    <row r="7" spans="1:4" x14ac:dyDescent="0.3">
      <c r="A7" s="1" t="s">
        <v>6</v>
      </c>
      <c r="B7" s="3">
        <v>5200000</v>
      </c>
      <c r="C7" s="3">
        <v>60</v>
      </c>
      <c r="D7" s="3">
        <f t="shared" si="0"/>
        <v>312000000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D0AD-0546-4225-AC67-656DE67C325D}">
  <dimension ref="A1:I8"/>
  <sheetViews>
    <sheetView showGridLines="0" topLeftCell="A4" zoomScale="190" zoomScaleNormal="190" workbookViewId="0">
      <selection activeCell="F4" sqref="F4"/>
    </sheetView>
  </sheetViews>
  <sheetFormatPr defaultRowHeight="14.4" x14ac:dyDescent="0.3"/>
  <cols>
    <col min="1" max="1" width="16.44140625" customWidth="1"/>
    <col min="2" max="2" width="7.44140625" customWidth="1"/>
    <col min="3" max="3" width="16.44140625" customWidth="1"/>
    <col min="8" max="8" width="14.33203125" bestFit="1" customWidth="1"/>
  </cols>
  <sheetData>
    <row r="1" spans="1:9" ht="25.8" x14ac:dyDescent="0.5">
      <c r="A1" s="4" t="e" vm="1">
        <v>#VALUE!</v>
      </c>
      <c r="B1" s="4"/>
    </row>
    <row r="2" spans="1:9" x14ac:dyDescent="0.3">
      <c r="A2" s="2" t="s">
        <v>0</v>
      </c>
      <c r="B2" s="2" t="s">
        <v>19</v>
      </c>
      <c r="C2" s="2" t="s">
        <v>1</v>
      </c>
      <c r="D2" s="2" t="s">
        <v>17</v>
      </c>
      <c r="F2" s="2" t="s">
        <v>23</v>
      </c>
      <c r="G2" s="2" t="s">
        <v>19</v>
      </c>
      <c r="H2" s="2" t="s">
        <v>1</v>
      </c>
      <c r="I2" s="2" t="s">
        <v>17</v>
      </c>
    </row>
    <row r="3" spans="1:9" x14ac:dyDescent="0.3">
      <c r="A3" s="1" t="s">
        <v>2</v>
      </c>
      <c r="B3" s="7">
        <v>8</v>
      </c>
      <c r="C3" s="3">
        <v>12000000</v>
      </c>
      <c r="D3" s="3">
        <v>130</v>
      </c>
      <c r="F3" t="str" cm="1">
        <f t="array" ref="F3:I5">_xlfn._xlws.FILTER(A2:D8,A2:A8="iPhone")</f>
        <v>iPhone</v>
      </c>
      <c r="G3">
        <v>8</v>
      </c>
      <c r="H3" s="8">
        <v>12000000</v>
      </c>
      <c r="I3">
        <v>130</v>
      </c>
    </row>
    <row r="4" spans="1:9" x14ac:dyDescent="0.3">
      <c r="A4" s="1" t="s">
        <v>2</v>
      </c>
      <c r="B4" s="7">
        <v>10</v>
      </c>
      <c r="C4" s="3">
        <v>19300000</v>
      </c>
      <c r="D4" s="3">
        <v>86</v>
      </c>
      <c r="F4" t="str">
        <v>iPhone</v>
      </c>
      <c r="G4">
        <v>10</v>
      </c>
      <c r="H4" s="8">
        <v>19300000</v>
      </c>
      <c r="I4">
        <v>86</v>
      </c>
    </row>
    <row r="5" spans="1:9" x14ac:dyDescent="0.3">
      <c r="A5" s="1" t="s">
        <v>3</v>
      </c>
      <c r="B5" s="7" t="s">
        <v>20</v>
      </c>
      <c r="C5" s="3">
        <v>14700000</v>
      </c>
      <c r="D5" s="3">
        <v>36</v>
      </c>
      <c r="F5" t="str">
        <v>iPhone</v>
      </c>
      <c r="G5">
        <v>12</v>
      </c>
      <c r="H5" s="8">
        <v>23500000</v>
      </c>
      <c r="I5">
        <v>27</v>
      </c>
    </row>
    <row r="6" spans="1:9" x14ac:dyDescent="0.3">
      <c r="A6" s="1" t="s">
        <v>2</v>
      </c>
      <c r="B6" s="7">
        <v>12</v>
      </c>
      <c r="C6" s="3">
        <v>23500000</v>
      </c>
      <c r="D6" s="3">
        <v>27</v>
      </c>
    </row>
    <row r="7" spans="1:9" x14ac:dyDescent="0.3">
      <c r="A7" s="1" t="s">
        <v>5</v>
      </c>
      <c r="B7" s="7" t="s">
        <v>21</v>
      </c>
      <c r="C7" s="3">
        <v>4600000</v>
      </c>
      <c r="D7" s="3">
        <v>47</v>
      </c>
    </row>
    <row r="8" spans="1:9" x14ac:dyDescent="0.3">
      <c r="A8" s="1" t="s">
        <v>6</v>
      </c>
      <c r="B8" s="7" t="s">
        <v>22</v>
      </c>
      <c r="C8" s="3">
        <v>5200000</v>
      </c>
      <c r="D8" s="3">
        <v>60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#NA</vt:lpstr>
      <vt:lpstr>#Div0</vt:lpstr>
      <vt:lpstr>#Name</vt:lpstr>
      <vt:lpstr>#Num</vt:lpstr>
      <vt:lpstr>#Value</vt:lpstr>
      <vt:lpstr>#REF</vt:lpstr>
      <vt:lpstr>#NULL</vt:lpstr>
      <vt:lpstr>######</vt:lpstr>
      <vt:lpstr>#Calc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Al Hajjri</cp:lastModifiedBy>
  <dcterms:created xsi:type="dcterms:W3CDTF">2021-07-29T10:33:58Z</dcterms:created>
  <dcterms:modified xsi:type="dcterms:W3CDTF">2026-01-29T10:27:25Z</dcterms:modified>
</cp:coreProperties>
</file>